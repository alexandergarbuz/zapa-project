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480" yWindow="45" windowWidth="18195" windowHeight="11565"/>
  </bookViews>
  <sheets>
    <sheet name="Training Needs" sheetId="8" r:id="rId1"/>
  </sheets>
  <calcPr calcId="145621" iterateDelta="1E-4"/>
</workbook>
</file>

<file path=xl/calcChain.xml><?xml version="1.0" encoding="utf-8"?>
<calcChain xmlns="http://schemas.openxmlformats.org/spreadsheetml/2006/main">
  <c r="E6" i="8" l="1"/>
  <c r="G6" i="8"/>
  <c r="E10" i="8"/>
  <c r="G10" i="8"/>
  <c r="E11" i="8"/>
  <c r="G11" i="8"/>
  <c r="E12" i="8"/>
  <c r="G12" i="8"/>
  <c r="E13" i="8"/>
  <c r="G13" i="8"/>
  <c r="E14" i="8"/>
  <c r="G14" i="8"/>
  <c r="E15" i="8"/>
  <c r="G15" i="8"/>
  <c r="E9" i="8"/>
  <c r="G9" i="8" s="1"/>
  <c r="E8" i="8"/>
  <c r="G8" i="8" s="1"/>
  <c r="E4" i="8"/>
  <c r="G4" i="8" s="1"/>
  <c r="E5" i="8"/>
  <c r="G5" i="8" s="1"/>
  <c r="E7" i="8"/>
  <c r="G7" i="8" s="1"/>
  <c r="E3" i="8"/>
  <c r="G3" i="8" s="1"/>
  <c r="G17" i="8" l="1"/>
</calcChain>
</file>

<file path=xl/sharedStrings.xml><?xml version="1.0" encoding="utf-8"?>
<sst xmlns="http://schemas.openxmlformats.org/spreadsheetml/2006/main" count="49" uniqueCount="40">
  <si>
    <t>Total</t>
  </si>
  <si>
    <t>Firearms fundamentals</t>
  </si>
  <si>
    <t>Cost per Operator</t>
  </si>
  <si>
    <t>Total Cost</t>
  </si>
  <si>
    <t>Training Class</t>
  </si>
  <si>
    <t>This class is focusing on teaching the students proper room clearing techniques, short distance firearms engaments, etc.</t>
  </si>
  <si>
    <t>Description</t>
  </si>
  <si>
    <t>CQB fundamentals &amp; team work</t>
  </si>
  <si>
    <t>Sniper training</t>
  </si>
  <si>
    <t>Specialized training for snipers and spotters</t>
  </si>
  <si>
    <t>Night time operations</t>
  </si>
  <si>
    <t xml:space="preserve">Number of Students </t>
  </si>
  <si>
    <t>Location</t>
  </si>
  <si>
    <t>Capacity</t>
  </si>
  <si>
    <t>Indoor Practice Range</t>
  </si>
  <si>
    <t>Radio communications</t>
  </si>
  <si>
    <t>Defensive driving</t>
  </si>
  <si>
    <t>Evasive driving</t>
  </si>
  <si>
    <t>Weapon manipulation course that focuses on individual firearms manipulations, reloading, malfunction clearing, etc.</t>
  </si>
  <si>
    <t>Surveillance &amp; counter surveillance</t>
  </si>
  <si>
    <t>Medical training</t>
  </si>
  <si>
    <t xml:space="preserve">EOD (Explosive Ordnance Disposal Technician) training </t>
  </si>
  <si>
    <t xml:space="preserve"> CQB Training Facility</t>
  </si>
  <si>
    <t>This class is focusing on providing specialized training on how to use explosives for breaching into the closed (locked) areas, setting up traps, as well as disarming previously set up IEDs.</t>
  </si>
  <si>
    <t>This class is focusing on proper planning and executing night time operations using night vision and thermal imagining  equipment.</t>
  </si>
  <si>
    <t>Rescue operations planning</t>
  </si>
  <si>
    <t>Rescue operations execution and control</t>
  </si>
  <si>
    <t>Hourly Rate per Student</t>
  </si>
  <si>
    <t>Underground Training Center</t>
  </si>
  <si>
    <t>Outdoor Practice Range</t>
  </si>
  <si>
    <t>Urban environments sniper support training</t>
  </si>
  <si>
    <t>Driving School</t>
  </si>
  <si>
    <t>Class is focusing on planning and organizing extraction and rescue operations</t>
  </si>
  <si>
    <t>This class is focusing on establishing and maintaining clear communication channels between operators as well as securing the connections</t>
  </si>
  <si>
    <t>Class is focusing on learning how to prevent accident in high speed environments</t>
  </si>
  <si>
    <t>Class is focusing on how to plan and execute evasive maneuvers</t>
  </si>
  <si>
    <t>Class is focusing on planning and organizing surveillance &amp; counter surveillance activities</t>
  </si>
  <si>
    <t>Medical training for high risk personnel</t>
  </si>
  <si>
    <t>Class is focusing on practicing executing various rescue and extraction scenarios</t>
  </si>
  <si>
    <t>Class Duration
 (# of  Hours)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</si>
</sst>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6" formatCode="&quot;$&quot;#,##0_);[Red]\(&quot;$&quot;#,##0\)"/>
    <numFmt numFmtId="44" formatCode="_(&quot;$&quot;* #,##0.00_);_(&quot;$&quot;* \(#,##0.00\);_(&quot;$&quot;* &quot;-&quot;??_);_(@_)"/>
    <numFmt numFmtId="164" formatCode="&quot;$&quot;#,##0.0_);[Red]\(&quot;$&quot;#,##0.0\)"/>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4"/>
      </patternFill>
    </fill>
  </fills>
  <borders count="2">
    <border>
      <left/>
      <right/>
      <top/>
      <bottom/>
      <diagonal/>
    </border>
    <border>
      <left/>
      <right/>
      <top/>
      <bottom style="thin">
        <color indexed="64"/>
      </bottom>
      <diagonal/>
    </border>
  </borders>
  <cellStyleXfs count="3">
    <xf numFmtId="0" fontId="0" fillId="0" borderId="0"/>
    <xf numFmtId="44" fontId="1" fillId="0" borderId="0" applyFont="0" applyFill="0" applyBorder="0" applyAlignment="0" applyProtection="0"/>
    <xf numFmtId="0" fontId="3" fillId="2" borderId="0" applyNumberFormat="0" applyBorder="0" applyAlignment="0" applyProtection="0"/>
  </cellStyleXfs>
  <cellXfs count="20">
    <xf numFmtId="0" fontId="0" fillId="0" borderId="0" xfId="0"/>
    <xf numFmtId="0" fontId="3" fillId="2" borderId="0" xfId="2" applyAlignment="1">
      <alignment horizontal="center" vertical="top" wrapText="1"/>
    </xf>
    <xf numFmtId="0" fontId="0" fillId="0" borderId="0" xfId="0" applyAlignment="1">
      <alignment horizontal="center" vertical="top"/>
    </xf>
    <xf numFmtId="0" fontId="0" fillId="0" borderId="0" xfId="0" applyAlignment="1">
      <alignment horizontal="left" vertical="top"/>
    </xf>
    <xf numFmtId="44" fontId="3" fillId="2" borderId="0" xfId="1" applyFont="1" applyFill="1" applyAlignment="1">
      <alignment horizontal="center" vertical="top" wrapText="1"/>
    </xf>
    <xf numFmtId="44" fontId="0" fillId="0" borderId="0" xfId="1" applyFont="1" applyAlignment="1">
      <alignment horizontal="center" vertical="top"/>
    </xf>
    <xf numFmtId="0" fontId="0" fillId="0" borderId="0" xfId="0" applyAlignment="1">
      <alignment vertical="top" wrapText="1"/>
    </xf>
    <xf numFmtId="0" fontId="0" fillId="0" borderId="0" xfId="0" applyAlignment="1">
      <alignment vertical="top"/>
    </xf>
    <xf numFmtId="6" fontId="0" fillId="0" borderId="0" xfId="0" applyNumberFormat="1" applyAlignment="1">
      <alignment horizontal="left" vertical="top"/>
    </xf>
    <xf numFmtId="0" fontId="0" fillId="0" borderId="1" xfId="0" applyBorder="1" applyAlignment="1">
      <alignment vertical="top"/>
    </xf>
    <xf numFmtId="44" fontId="0" fillId="0" borderId="1" xfId="1" applyFont="1"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left" vertical="top"/>
    </xf>
    <xf numFmtId="6" fontId="2" fillId="0" borderId="0" xfId="0" applyNumberFormat="1" applyFont="1" applyAlignment="1">
      <alignment horizontal="left" vertical="top"/>
    </xf>
    <xf numFmtId="9" fontId="0" fillId="0" borderId="0" xfId="0" applyNumberFormat="1" applyAlignment="1">
      <alignment horizontal="center" vertical="top"/>
    </xf>
    <xf numFmtId="164" fontId="2" fillId="0" borderId="0" xfId="0" applyNumberFormat="1" applyFont="1" applyAlignment="1">
      <alignment horizontal="left" vertical="top"/>
    </xf>
    <xf numFmtId="0" fontId="0" fillId="0" borderId="1" xfId="0" applyBorder="1" applyAlignment="1">
      <alignment vertical="top" wrapText="1"/>
    </xf>
    <xf numFmtId="44" fontId="0" fillId="0" borderId="0" xfId="0" applyNumberFormat="1" applyAlignment="1">
      <alignment horizontal="center" vertical="top"/>
    </xf>
    <xf numFmtId="0" fontId="0" fillId="0" borderId="0" xfId="0" applyAlignment="1">
      <alignment horizontal="left" vertical="top" wrapText="1"/>
    </xf>
    <xf numFmtId="0" fontId="2" fillId="0" borderId="0" xfId="0" applyFont="1" applyAlignment="1">
      <alignment vertical="top"/>
    </xf>
  </cellXfs>
  <cellStyles count="3">
    <cellStyle name="Accent1" xfId="2" builtinId="29"/>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tabSelected="1" topLeftCell="A7" workbookViewId="0">
      <selection activeCell="F18" sqref="F18"/>
    </sheetView>
  </sheetViews>
  <sheetFormatPr defaultRowHeight="15" x14ac:dyDescent="0.25"/>
  <cols>
    <col min="1" max="1" width="29.42578125" style="6" customWidth="1"/>
    <col min="2" max="2" width="40.7109375" style="6" customWidth="1"/>
    <col min="3" max="3" width="12.140625" style="7" bestFit="1" customWidth="1"/>
    <col min="4" max="4" width="10.5703125" style="5" bestFit="1" customWidth="1"/>
    <col min="5" max="5" width="10.5703125" style="2" bestFit="1" customWidth="1"/>
    <col min="6" max="6" width="8.85546875" style="7" customWidth="1"/>
    <col min="7" max="7" width="12.42578125" style="3" bestFit="1" customWidth="1"/>
    <col min="8" max="8" width="27.28515625" style="6" customWidth="1"/>
    <col min="9" max="9" width="8.42578125" style="7" bestFit="1" customWidth="1"/>
    <col min="10" max="16384" width="9.140625" style="7"/>
  </cols>
  <sheetData>
    <row r="1" spans="1:9" ht="45" x14ac:dyDescent="0.25">
      <c r="A1" s="1" t="s">
        <v>4</v>
      </c>
      <c r="B1" s="1" t="s">
        <v>6</v>
      </c>
      <c r="C1" s="1" t="s">
        <v>39</v>
      </c>
      <c r="D1" s="1" t="s">
        <v>27</v>
      </c>
      <c r="E1" s="4" t="s">
        <v>2</v>
      </c>
      <c r="F1" s="1" t="s">
        <v>11</v>
      </c>
      <c r="G1" s="1" t="s">
        <v>3</v>
      </c>
      <c r="H1" s="1" t="s">
        <v>12</v>
      </c>
      <c r="I1" s="1" t="s">
        <v>13</v>
      </c>
    </row>
    <row r="3" spans="1:9" ht="60" x14ac:dyDescent="0.25">
      <c r="A3" s="18" t="s">
        <v>1</v>
      </c>
      <c r="B3" s="6" t="s">
        <v>18</v>
      </c>
      <c r="C3" s="7">
        <v>16</v>
      </c>
      <c r="D3" s="5">
        <v>200</v>
      </c>
      <c r="E3" s="17">
        <f>C3*D3</f>
        <v>3200</v>
      </c>
      <c r="F3" s="7">
        <v>36</v>
      </c>
      <c r="G3" s="8">
        <f>E3*F3</f>
        <v>115200</v>
      </c>
      <c r="H3" s="6" t="s">
        <v>14</v>
      </c>
      <c r="I3" s="7">
        <v>15</v>
      </c>
    </row>
    <row r="4" spans="1:9" ht="60" x14ac:dyDescent="0.25">
      <c r="A4" s="18" t="s">
        <v>7</v>
      </c>
      <c r="B4" s="6" t="s">
        <v>5</v>
      </c>
      <c r="C4" s="7">
        <v>24</v>
      </c>
      <c r="D4" s="5">
        <v>200</v>
      </c>
      <c r="E4" s="17">
        <f t="shared" ref="E4:E9" si="0">C4*D4</f>
        <v>4800</v>
      </c>
      <c r="F4" s="7">
        <v>29</v>
      </c>
      <c r="G4" s="8">
        <f t="shared" ref="G4:G9" si="1">E4*F4</f>
        <v>139200</v>
      </c>
      <c r="H4" s="6" t="s">
        <v>22</v>
      </c>
      <c r="I4" s="7">
        <v>30</v>
      </c>
    </row>
    <row r="5" spans="1:9" ht="30" x14ac:dyDescent="0.25">
      <c r="A5" s="18" t="s">
        <v>8</v>
      </c>
      <c r="B5" s="6" t="s">
        <v>9</v>
      </c>
      <c r="C5" s="7">
        <v>8</v>
      </c>
      <c r="D5" s="5">
        <v>200</v>
      </c>
      <c r="E5" s="17">
        <f t="shared" si="0"/>
        <v>1600</v>
      </c>
      <c r="F5" s="7">
        <v>4</v>
      </c>
      <c r="G5" s="8">
        <f t="shared" si="1"/>
        <v>6400</v>
      </c>
      <c r="H5" s="6" t="s">
        <v>29</v>
      </c>
      <c r="I5" s="7">
        <v>30</v>
      </c>
    </row>
    <row r="6" spans="1:9" ht="30" x14ac:dyDescent="0.25">
      <c r="A6" s="18" t="s">
        <v>30</v>
      </c>
      <c r="B6" s="6" t="s">
        <v>9</v>
      </c>
      <c r="C6" s="7">
        <v>8</v>
      </c>
      <c r="D6" s="5">
        <v>200</v>
      </c>
      <c r="E6" s="17">
        <f t="shared" ref="E6" si="2">C6*D6</f>
        <v>1600</v>
      </c>
      <c r="F6" s="7">
        <v>4</v>
      </c>
      <c r="G6" s="8">
        <f t="shared" ref="G6" si="3">E6*F6</f>
        <v>6400</v>
      </c>
      <c r="H6" s="6" t="s">
        <v>22</v>
      </c>
    </row>
    <row r="7" spans="1:9" ht="60" x14ac:dyDescent="0.25">
      <c r="A7" s="18" t="s">
        <v>10</v>
      </c>
      <c r="B7" s="6" t="s">
        <v>24</v>
      </c>
      <c r="C7" s="7">
        <v>16</v>
      </c>
      <c r="D7" s="5">
        <v>500</v>
      </c>
      <c r="E7" s="17">
        <f t="shared" si="0"/>
        <v>8000</v>
      </c>
      <c r="F7" s="7">
        <v>29</v>
      </c>
      <c r="G7" s="8">
        <f t="shared" si="1"/>
        <v>232000</v>
      </c>
      <c r="H7" s="6" t="s">
        <v>22</v>
      </c>
      <c r="I7" s="7">
        <v>30</v>
      </c>
    </row>
    <row r="8" spans="1:9" ht="90" x14ac:dyDescent="0.25">
      <c r="A8" s="6" t="s">
        <v>21</v>
      </c>
      <c r="B8" s="6" t="s">
        <v>23</v>
      </c>
      <c r="C8" s="7">
        <v>16</v>
      </c>
      <c r="D8" s="5">
        <v>1500</v>
      </c>
      <c r="E8" s="2">
        <f t="shared" si="0"/>
        <v>24000</v>
      </c>
      <c r="F8" s="7">
        <v>5</v>
      </c>
      <c r="G8" s="8">
        <f t="shared" si="1"/>
        <v>120000</v>
      </c>
      <c r="H8" s="6" t="s">
        <v>28</v>
      </c>
      <c r="I8" s="7">
        <v>15</v>
      </c>
    </row>
    <row r="9" spans="1:9" ht="60" x14ac:dyDescent="0.25">
      <c r="A9" s="6" t="s">
        <v>15</v>
      </c>
      <c r="B9" s="6" t="s">
        <v>33</v>
      </c>
      <c r="C9" s="7">
        <v>8</v>
      </c>
      <c r="D9" s="5">
        <v>150</v>
      </c>
      <c r="E9" s="2">
        <f t="shared" si="0"/>
        <v>1200</v>
      </c>
      <c r="F9" s="7">
        <v>29</v>
      </c>
      <c r="G9" s="8">
        <f t="shared" si="1"/>
        <v>34800</v>
      </c>
      <c r="H9" s="6" t="s">
        <v>28</v>
      </c>
      <c r="I9" s="7">
        <v>15</v>
      </c>
    </row>
    <row r="10" spans="1:9" ht="45" x14ac:dyDescent="0.25">
      <c r="A10" s="6" t="s">
        <v>16</v>
      </c>
      <c r="B10" s="6" t="s">
        <v>34</v>
      </c>
      <c r="C10" s="7">
        <v>8</v>
      </c>
      <c r="D10" s="5">
        <v>300</v>
      </c>
      <c r="E10" s="2">
        <f t="shared" ref="E10:E15" si="4">C10*D10</f>
        <v>2400</v>
      </c>
      <c r="F10" s="7">
        <v>8</v>
      </c>
      <c r="G10" s="8">
        <f t="shared" ref="G10:G15" si="5">E10*F10</f>
        <v>19200</v>
      </c>
      <c r="H10" s="6" t="s">
        <v>31</v>
      </c>
      <c r="I10" s="7">
        <v>15</v>
      </c>
    </row>
    <row r="11" spans="1:9" ht="30" x14ac:dyDescent="0.25">
      <c r="A11" s="6" t="s">
        <v>17</v>
      </c>
      <c r="B11" s="6" t="s">
        <v>35</v>
      </c>
      <c r="C11" s="7">
        <v>8</v>
      </c>
      <c r="D11" s="5">
        <v>300</v>
      </c>
      <c r="E11" s="2">
        <f t="shared" si="4"/>
        <v>2400</v>
      </c>
      <c r="F11" s="7">
        <v>8</v>
      </c>
      <c r="G11" s="8">
        <f t="shared" si="5"/>
        <v>19200</v>
      </c>
      <c r="H11" s="6" t="s">
        <v>31</v>
      </c>
      <c r="I11" s="7">
        <v>15</v>
      </c>
    </row>
    <row r="12" spans="1:9" ht="45" x14ac:dyDescent="0.25">
      <c r="A12" s="6" t="s">
        <v>19</v>
      </c>
      <c r="B12" s="6" t="s">
        <v>36</v>
      </c>
      <c r="C12" s="7">
        <v>16</v>
      </c>
      <c r="D12" s="5">
        <v>250</v>
      </c>
      <c r="E12" s="2">
        <f t="shared" si="4"/>
        <v>4000</v>
      </c>
      <c r="F12" s="7">
        <v>29</v>
      </c>
      <c r="G12" s="8">
        <f t="shared" si="5"/>
        <v>116000</v>
      </c>
      <c r="H12" s="6" t="s">
        <v>28</v>
      </c>
      <c r="I12" s="7">
        <v>15</v>
      </c>
    </row>
    <row r="13" spans="1:9" x14ac:dyDescent="0.25">
      <c r="A13" s="6" t="s">
        <v>20</v>
      </c>
      <c r="B13" s="6" t="s">
        <v>37</v>
      </c>
      <c r="C13" s="7">
        <v>8</v>
      </c>
      <c r="D13" s="5">
        <v>450</v>
      </c>
      <c r="E13" s="2">
        <f t="shared" si="4"/>
        <v>3600</v>
      </c>
      <c r="F13" s="7">
        <v>33</v>
      </c>
      <c r="G13" s="8">
        <f t="shared" si="5"/>
        <v>118800</v>
      </c>
      <c r="H13" s="6" t="s">
        <v>28</v>
      </c>
      <c r="I13" s="7">
        <v>15</v>
      </c>
    </row>
    <row r="14" spans="1:9" ht="45" x14ac:dyDescent="0.25">
      <c r="A14" s="6" t="s">
        <v>25</v>
      </c>
      <c r="B14" s="6" t="s">
        <v>32</v>
      </c>
      <c r="C14" s="7">
        <v>8</v>
      </c>
      <c r="D14" s="5">
        <v>200</v>
      </c>
      <c r="E14" s="2">
        <f t="shared" si="4"/>
        <v>1600</v>
      </c>
      <c r="F14" s="7">
        <v>29</v>
      </c>
      <c r="G14" s="8">
        <f t="shared" si="5"/>
        <v>46400</v>
      </c>
      <c r="H14" s="6" t="s">
        <v>28</v>
      </c>
      <c r="I14" s="7">
        <v>15</v>
      </c>
    </row>
    <row r="15" spans="1:9" ht="45" x14ac:dyDescent="0.25">
      <c r="A15" s="6" t="s">
        <v>26</v>
      </c>
      <c r="B15" s="6" t="s">
        <v>38</v>
      </c>
      <c r="C15" s="7">
        <v>4</v>
      </c>
      <c r="D15" s="5">
        <v>500</v>
      </c>
      <c r="E15" s="2">
        <f t="shared" si="4"/>
        <v>2000</v>
      </c>
      <c r="F15" s="7">
        <v>29</v>
      </c>
      <c r="G15" s="8">
        <f t="shared" si="5"/>
        <v>58000</v>
      </c>
      <c r="H15" s="6" t="s">
        <v>22</v>
      </c>
      <c r="I15" s="7">
        <v>30</v>
      </c>
    </row>
    <row r="16" spans="1:9" x14ac:dyDescent="0.25">
      <c r="A16" s="16"/>
      <c r="B16" s="16"/>
      <c r="C16" s="9"/>
      <c r="D16" s="10"/>
      <c r="E16" s="11"/>
      <c r="F16" s="9"/>
      <c r="G16" s="12"/>
      <c r="H16" s="16"/>
      <c r="I16" s="16"/>
    </row>
    <row r="17" spans="5:7" x14ac:dyDescent="0.25">
      <c r="F17" s="19" t="s">
        <v>0</v>
      </c>
      <c r="G17" s="13">
        <f>SUM(G3:G16)</f>
        <v>1031600</v>
      </c>
    </row>
    <row r="18" spans="5:7" x14ac:dyDescent="0.25">
      <c r="E18" s="14"/>
      <c r="G18" s="1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Training Needs</vt:lpstr>
    </vt:vector>
  </TitlesOfParts>
  <Company>American Family Insurance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Garbuz, Alexander N</dc:creator>
  <cp:lastModifiedBy>Garbuz, Alexander N</cp:lastModifiedBy>
  <dcterms:created xsi:type="dcterms:W3CDTF">2015-01-28T20:08:29Z</dcterms:created>
  <dcterms:modified xsi:type="dcterms:W3CDTF">2015-02-04T19:33:11Z</dcterms:modified>
</cp:coreProperties>
</file>