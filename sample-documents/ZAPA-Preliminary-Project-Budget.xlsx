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45" windowWidth="18195" windowHeight="11565" activeTab="2"/>
  </bookViews>
  <sheets>
    <sheet name="Procurement Needs" sheetId="7" r:id="rId1"/>
    <sheet name="Training Needs" sheetId="8" r:id="rId2"/>
    <sheet name="Budget" sheetId="9" r:id="rId3"/>
  </sheets>
  <calcPr calcId="145621" iterateDelta="1E-4"/>
</workbook>
</file>

<file path=xl/calcChain.xml><?xml version="1.0" encoding="utf-8"?>
<calcChain xmlns="http://schemas.openxmlformats.org/spreadsheetml/2006/main">
  <c r="B18" i="9" l="1"/>
  <c r="B17" i="9"/>
  <c r="B16" i="9"/>
  <c r="B8" i="9"/>
  <c r="B6" i="9"/>
  <c r="B4" i="9"/>
  <c r="B3" i="9"/>
  <c r="G15" i="8"/>
  <c r="E15" i="8"/>
  <c r="E14" i="8"/>
  <c r="G14" i="8" s="1"/>
  <c r="G13" i="8"/>
  <c r="E13" i="8"/>
  <c r="E12" i="8"/>
  <c r="G12" i="8" s="1"/>
  <c r="G11" i="8"/>
  <c r="E11" i="8"/>
  <c r="E10" i="8"/>
  <c r="G10" i="8" s="1"/>
  <c r="G9" i="8"/>
  <c r="E9" i="8"/>
  <c r="E8" i="8"/>
  <c r="G8" i="8" s="1"/>
  <c r="G7" i="8"/>
  <c r="E7" i="8"/>
  <c r="E6" i="8"/>
  <c r="G6" i="8" s="1"/>
  <c r="G5" i="8"/>
  <c r="E5" i="8"/>
  <c r="E4" i="8"/>
  <c r="G4" i="8" s="1"/>
  <c r="G3" i="8"/>
  <c r="E3" i="8"/>
  <c r="G17" i="8" l="1"/>
  <c r="F43" i="7" l="1"/>
  <c r="F44" i="7"/>
  <c r="F46" i="7"/>
  <c r="F47" i="7"/>
  <c r="F48" i="7"/>
  <c r="F49" i="7"/>
  <c r="D32" i="7"/>
  <c r="F32" i="7" s="1"/>
  <c r="F23" i="7"/>
  <c r="F24" i="7"/>
  <c r="F25" i="7"/>
  <c r="F26" i="7"/>
  <c r="F27" i="7"/>
  <c r="F28" i="7"/>
  <c r="F29" i="7"/>
  <c r="F30" i="7"/>
  <c r="F31" i="7"/>
  <c r="F33" i="7"/>
  <c r="F34" i="7"/>
  <c r="F35" i="7"/>
  <c r="F36" i="7"/>
  <c r="F37" i="7"/>
  <c r="F38" i="7"/>
  <c r="F39" i="7"/>
  <c r="F40" i="7"/>
  <c r="F41" i="7"/>
  <c r="F18" i="7"/>
  <c r="F19" i="7"/>
  <c r="F20" i="7"/>
  <c r="F22" i="7"/>
  <c r="F5" i="7"/>
  <c r="F6" i="7"/>
  <c r="F7" i="7"/>
  <c r="F8" i="7"/>
  <c r="F9" i="7"/>
  <c r="F10" i="7"/>
  <c r="D16" i="7"/>
  <c r="F16" i="7" s="1"/>
  <c r="D12" i="7"/>
  <c r="F12" i="7" s="1"/>
  <c r="D15" i="7"/>
  <c r="F15" i="7" s="1"/>
  <c r="D14" i="7"/>
  <c r="F14" i="7" s="1"/>
  <c r="D13" i="7"/>
  <c r="F13" i="7" s="1"/>
  <c r="F4" i="7"/>
  <c r="F56" i="7" l="1"/>
  <c r="F57" i="7" s="1"/>
</calcChain>
</file>

<file path=xl/sharedStrings.xml><?xml version="1.0" encoding="utf-8"?>
<sst xmlns="http://schemas.openxmlformats.org/spreadsheetml/2006/main" count="157" uniqueCount="106">
  <si>
    <t>Medical Equipment</t>
  </si>
  <si>
    <t>Supplies</t>
  </si>
  <si>
    <t>Item</t>
  </si>
  <si>
    <t>Category</t>
  </si>
  <si>
    <t>Price</t>
  </si>
  <si>
    <t>Quantity</t>
  </si>
  <si>
    <t>Colt M4A1</t>
  </si>
  <si>
    <t>P226 - Sig Sauer</t>
  </si>
  <si>
    <t>Heckler &amp; Koch MP5</t>
  </si>
  <si>
    <t>M110 SASS</t>
  </si>
  <si>
    <t>M240G</t>
  </si>
  <si>
    <t>M72A2 LAW</t>
  </si>
  <si>
    <t>M136LMW/AT4</t>
  </si>
  <si>
    <t>Weapon</t>
  </si>
  <si>
    <t>5.56x45 mm NATO</t>
  </si>
  <si>
    <t>9x19 mm PARA</t>
  </si>
  <si>
    <t>7.62x51mm NATO</t>
  </si>
  <si>
    <t>Ammunition</t>
  </si>
  <si>
    <t>Total Amount</t>
  </si>
  <si>
    <t>Quantity per Operator</t>
  </si>
  <si>
    <t>Toyota FJ Cruiser</t>
  </si>
  <si>
    <t>Vehicle</t>
  </si>
  <si>
    <t>Dodge Ram Van 1500</t>
  </si>
  <si>
    <t>Toyota Tundra</t>
  </si>
  <si>
    <t>TRUE-SPEC Field Uniform Set</t>
  </si>
  <si>
    <t>LOWA Tactical boots</t>
  </si>
  <si>
    <t>Tactical gloves</t>
  </si>
  <si>
    <t>OpsCore FAST Ballistic High Cut</t>
  </si>
  <si>
    <t>ESS Eyewear Profile Night Vision Goggles</t>
  </si>
  <si>
    <t>ESS Crossbow</t>
  </si>
  <si>
    <t>Level IV Ballistic Plates</t>
  </si>
  <si>
    <t xml:space="preserve">Level III ballistic plates </t>
  </si>
  <si>
    <t>Plate carrier</t>
  </si>
  <si>
    <t>EOTech Light Weapon Thermal Sight</t>
  </si>
  <si>
    <t>EOTech GPNVG Ground Panoramic Night Vision Goggle System Kit</t>
  </si>
  <si>
    <t>EOTech  Model 512™ holographic weapon sight</t>
  </si>
  <si>
    <t>EOTech Transverse Red Dot sight</t>
  </si>
  <si>
    <t>Leupold 111249 VXR 4-12x50mm Scope</t>
  </si>
  <si>
    <t>Vortex Optics Diamondback 10x42 Roof Prism Binocular</t>
  </si>
  <si>
    <t>SureFire X400 Ultra-High Output LED and Laser Weapon Light</t>
  </si>
  <si>
    <t>SureFire M600 Ultra Scout Ultra-High Output LED Weapon Light</t>
  </si>
  <si>
    <t>Gerber 22-41545 Black Diesel Multi-Plier with Sheath</t>
  </si>
  <si>
    <t>Gerber 22-01629 LMF II Black Infantry Knife</t>
  </si>
  <si>
    <t>5.11 Rush 12 Back Pack</t>
  </si>
  <si>
    <t>Individual Gear</t>
  </si>
  <si>
    <t>Medic First Aid Kit Bag</t>
  </si>
  <si>
    <t>Field surgical tool kit</t>
  </si>
  <si>
    <t>Fuel</t>
  </si>
  <si>
    <t>Water</t>
  </si>
  <si>
    <t>Food</t>
  </si>
  <si>
    <t>Rent</t>
  </si>
  <si>
    <t>Other expenses</t>
  </si>
  <si>
    <t>Total</t>
  </si>
  <si>
    <t>Training Class</t>
  </si>
  <si>
    <t>Description</t>
  </si>
  <si>
    <t>Class Duration
 (# of  Hours)</t>
  </si>
  <si>
    <t>Hourly Rate per Student</t>
  </si>
  <si>
    <t>Cost per Operator</t>
  </si>
  <si>
    <t xml:space="preserve">Number of Students </t>
  </si>
  <si>
    <t>Total Cost</t>
  </si>
  <si>
    <t>Location</t>
  </si>
  <si>
    <t>Capacity</t>
  </si>
  <si>
    <t>Firearms fundamentals</t>
  </si>
  <si>
    <t>Weapon manipulation course that focuses on individual firearms manipulations, reloading, malfunction clearing, etc.</t>
  </si>
  <si>
    <t>Indoor Practice Range</t>
  </si>
  <si>
    <t>CQB fundamentals &amp; team work</t>
  </si>
  <si>
    <t>This class is focusing on teaching the students proper room clearing techniques, short distance firearms engaments, etc.</t>
  </si>
  <si>
    <t xml:space="preserve"> CQB Training Facility</t>
  </si>
  <si>
    <t>Sniper training</t>
  </si>
  <si>
    <t>Specialized training for snipers and spotters</t>
  </si>
  <si>
    <t>Outdoor Practice Range</t>
  </si>
  <si>
    <t>Urban environments sniper support training</t>
  </si>
  <si>
    <t>Night time operations</t>
  </si>
  <si>
    <t>This class is focusing on proper planning and executing night time operations using night vision and thermal imagining  equipment.</t>
  </si>
  <si>
    <t xml:space="preserve">EOD (Explosive Ordnance Disposal Technician) training </t>
  </si>
  <si>
    <t>This class is focusing on providing specialized training on how to use explosives for breaching into the closed (locked) areas, setting up traps, as well as disarming previously set up IEDs.</t>
  </si>
  <si>
    <t>Underground Training Center</t>
  </si>
  <si>
    <t>Radio communications</t>
  </si>
  <si>
    <t>This class is focusing on establishing and maintaining clear communication channels between operators as well as securing the connections</t>
  </si>
  <si>
    <t>Defensive driving</t>
  </si>
  <si>
    <t>Class is focusing on learning how to prevent accident in high speed environments</t>
  </si>
  <si>
    <t>Driving School</t>
  </si>
  <si>
    <t>Evasive driving</t>
  </si>
  <si>
    <t>Class is focusing on how to plan and execute evasive maneuvers</t>
  </si>
  <si>
    <t>Surveillance &amp; counter surveillance</t>
  </si>
  <si>
    <t>Class is focusing on planning and organizing surveillance &amp; counter surveillance activities</t>
  </si>
  <si>
    <t>Medical training</t>
  </si>
  <si>
    <t>Medical training for high risk personnel</t>
  </si>
  <si>
    <t>Rescue operations planning</t>
  </si>
  <si>
    <t>Class is focusing on planning and organizing extraction and rescue operations</t>
  </si>
  <si>
    <t>Rescue operations execution and control</t>
  </si>
  <si>
    <t>Class is focusing on practicing executing various rescue and extraction scenarios</t>
  </si>
  <si>
    <t>Expense Type</t>
  </si>
  <si>
    <t>Cost</t>
  </si>
  <si>
    <t>Comments</t>
  </si>
  <si>
    <t>Equipment &amp; Gear</t>
  </si>
  <si>
    <t>Training</t>
  </si>
  <si>
    <t>Salary</t>
  </si>
  <si>
    <t>Project Management Overhead</t>
  </si>
  <si>
    <t>Tactical Team</t>
  </si>
  <si>
    <t>($80 hourly rate) x (160 horus / month) x 3 month</t>
  </si>
  <si>
    <t>@ $50/hour rate</t>
  </si>
  <si>
    <t>(See tactical gear and equipment list)</t>
  </si>
  <si>
    <t>(See training roster)</t>
  </si>
  <si>
    <t>TBD</t>
  </si>
  <si>
    <t>20% Unexpected Expenses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</si>
</sst>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_);[Red]\(&quot;$&quot;#,##0\)"/>
    <numFmt numFmtId="44" formatCode="_(&quot;$&quot;* #,##0.00_);_(&quot;$&quot;* \(#,##0.00\);_(&quot;$&quot;* &quot;-&quot;??_);_(@_)"/>
    <numFmt numFmtId="164" formatCode="&quot;$&quot;#,##0.0_);[Red]\(&quot;$&quot;#,##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4"/>
      </patternFill>
    </fill>
  </fills>
  <borders count="2">
    <border>
      <left/>
      <right/>
      <top/>
      <bottom/>
      <diagonal/>
    </border>
    <border>
      <left/>
      <right/>
      <top/>
      <bottom style="thin">
        <color indexed="64"/>
      </bottom>
      <diagonal/>
    </border>
  </borders>
  <cellStyleXfs count="3">
    <xf numFmtId="0" fontId="0" fillId="0" borderId="0"/>
    <xf numFmtId="44" fontId="1" fillId="0" borderId="0" applyFont="0" applyFill="0" applyBorder="0" applyAlignment="0" applyProtection="0"/>
    <xf numFmtId="0" fontId="3" fillId="2" borderId="0" applyNumberFormat="0" applyBorder="0" applyAlignment="0" applyProtection="0"/>
  </cellStyleXfs>
  <cellXfs count="48">
    <xf numFmtId="0" fontId="0" fillId="0" borderId="0" xfId="0"/>
    <xf numFmtId="0" fontId="0" fillId="0" borderId="1" xfId="0" applyBorder="1"/>
    <xf numFmtId="0" fontId="0" fillId="0" borderId="0" xfId="0" applyAlignment="1">
      <alignment horizontal="left" vertical="top"/>
    </xf>
    <xf numFmtId="0" fontId="0" fillId="0" borderId="0" xfId="0"/>
    <xf numFmtId="0" fontId="0" fillId="0" borderId="0" xfId="0" applyAlignment="1">
      <alignment horizontal="left" vertical="top"/>
    </xf>
    <xf numFmtId="0" fontId="0" fillId="0" borderId="0" xfId="0"/>
    <xf numFmtId="0" fontId="0" fillId="0" borderId="0" xfId="0" applyAlignment="1">
      <alignment horizontal="left" vertical="top"/>
    </xf>
    <xf numFmtId="0" fontId="3" fillId="2" borderId="0" xfId="2" applyAlignment="1">
      <alignment horizontal="center" vertical="top" wrapText="1"/>
    </xf>
    <xf numFmtId="0" fontId="0" fillId="0" borderId="0" xfId="0"/>
    <xf numFmtId="0" fontId="0" fillId="0" borderId="0" xfId="0"/>
    <xf numFmtId="0" fontId="0" fillId="0" borderId="0" xfId="0"/>
    <xf numFmtId="0" fontId="0" fillId="0" borderId="0" xfId="0"/>
    <xf numFmtId="0" fontId="0" fillId="0" borderId="0" xfId="0" applyAlignment="1">
      <alignment horizontal="center" vertical="top"/>
    </xf>
    <xf numFmtId="0" fontId="0" fillId="0" borderId="1" xfId="0" applyBorder="1" applyAlignment="1">
      <alignment horizontal="center"/>
    </xf>
    <xf numFmtId="0" fontId="0" fillId="0" borderId="0" xfId="0"/>
    <xf numFmtId="0" fontId="0" fillId="0" borderId="0" xfId="0" applyAlignment="1">
      <alignment horizontal="left" vertical="top"/>
    </xf>
    <xf numFmtId="0" fontId="0" fillId="0" borderId="0" xfId="0" applyAlignment="1">
      <alignment horizontal="left"/>
    </xf>
    <xf numFmtId="0" fontId="0" fillId="0" borderId="0" xfId="0" applyAlignment="1">
      <alignment horizontal="center"/>
    </xf>
    <xf numFmtId="6" fontId="0" fillId="0" borderId="0" xfId="0" applyNumberFormat="1" applyAlignment="1">
      <alignment horizontal="left"/>
    </xf>
    <xf numFmtId="0" fontId="0" fillId="0" borderId="1" xfId="0" applyBorder="1" applyAlignment="1">
      <alignment horizontal="left"/>
    </xf>
    <xf numFmtId="9" fontId="0" fillId="0" borderId="0" xfId="0" applyNumberFormat="1" applyAlignment="1">
      <alignment horizontal="center"/>
    </xf>
    <xf numFmtId="0" fontId="0" fillId="0" borderId="0" xfId="0"/>
    <xf numFmtId="0" fontId="0" fillId="0" borderId="0" xfId="0" applyAlignment="1">
      <alignment horizontal="left" vertical="top"/>
    </xf>
    <xf numFmtId="0" fontId="0" fillId="0" borderId="0" xfId="0"/>
    <xf numFmtId="44" fontId="3" fillId="2" borderId="0" xfId="1" applyFont="1" applyFill="1" applyAlignment="1">
      <alignment horizontal="center" vertical="top" wrapText="1"/>
    </xf>
    <xf numFmtId="44" fontId="0" fillId="0" borderId="0" xfId="1" applyFont="1" applyAlignment="1">
      <alignment horizontal="center" vertical="top"/>
    </xf>
    <xf numFmtId="44" fontId="0" fillId="0" borderId="0" xfId="1" applyFont="1" applyAlignment="1">
      <alignment horizontal="center"/>
    </xf>
    <xf numFmtId="44" fontId="0" fillId="0" borderId="1" xfId="1" applyFont="1" applyBorder="1" applyAlignment="1">
      <alignment horizontal="center"/>
    </xf>
    <xf numFmtId="6" fontId="2" fillId="0" borderId="0" xfId="0" applyNumberFormat="1" applyFont="1" applyAlignment="1">
      <alignment horizontal="left"/>
    </xf>
    <xf numFmtId="164" fontId="2" fillId="0" borderId="0" xfId="0" applyNumberFormat="1" applyFont="1" applyAlignment="1">
      <alignment horizontal="left"/>
    </xf>
    <xf numFmtId="0" fontId="0" fillId="0" borderId="0" xfId="0" applyAlignment="1">
      <alignment vertical="top"/>
    </xf>
    <xf numFmtId="0" fontId="0" fillId="0" borderId="0" xfId="0" applyAlignment="1">
      <alignment horizontal="left" vertical="top" wrapText="1"/>
    </xf>
    <xf numFmtId="0" fontId="0" fillId="0" borderId="0" xfId="0" applyAlignment="1">
      <alignment vertical="top" wrapText="1"/>
    </xf>
    <xf numFmtId="44" fontId="0" fillId="0" borderId="0" xfId="0" applyNumberFormat="1" applyAlignment="1">
      <alignment horizontal="center" vertical="top"/>
    </xf>
    <xf numFmtId="6" fontId="0" fillId="0" borderId="0" xfId="0" applyNumberFormat="1" applyAlignment="1">
      <alignment horizontal="left" vertical="top"/>
    </xf>
    <xf numFmtId="0" fontId="0" fillId="0" borderId="1" xfId="0" applyBorder="1" applyAlignment="1">
      <alignment vertical="top" wrapText="1"/>
    </xf>
    <xf numFmtId="0" fontId="0" fillId="0" borderId="1" xfId="0" applyBorder="1" applyAlignment="1">
      <alignment vertical="top"/>
    </xf>
    <xf numFmtId="44" fontId="0" fillId="0" borderId="1" xfId="1" applyFont="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left" vertical="top"/>
    </xf>
    <xf numFmtId="0" fontId="2" fillId="0" borderId="0" xfId="0" applyFont="1" applyAlignment="1">
      <alignment vertical="top"/>
    </xf>
    <xf numFmtId="6" fontId="2" fillId="0" borderId="0" xfId="0" applyNumberFormat="1" applyFont="1" applyAlignment="1">
      <alignment horizontal="left" vertical="top"/>
    </xf>
    <xf numFmtId="9" fontId="0" fillId="0" borderId="0" xfId="0" applyNumberFormat="1" applyAlignment="1">
      <alignment horizontal="center" vertical="top"/>
    </xf>
    <xf numFmtId="164" fontId="2" fillId="0" borderId="0" xfId="0" applyNumberFormat="1" applyFont="1" applyAlignment="1">
      <alignment horizontal="left" vertical="top"/>
    </xf>
    <xf numFmtId="0" fontId="0" fillId="0" borderId="0" xfId="0" applyAlignment="1">
      <alignment horizontal="left" vertical="top" wrapText="1" indent="1"/>
    </xf>
    <xf numFmtId="0" fontId="2" fillId="0" borderId="0" xfId="0" applyFont="1" applyAlignment="1">
      <alignment vertical="top" wrapText="1"/>
    </xf>
    <xf numFmtId="0" fontId="0" fillId="0" borderId="0" xfId="0" quotePrefix="1" applyAlignment="1">
      <alignment vertical="top" wrapText="1"/>
    </xf>
    <xf numFmtId="0" fontId="0" fillId="0" borderId="0" xfId="0" applyAlignment="1">
      <alignment horizontal="left" vertical="top" indent="1"/>
    </xf>
  </cellXfs>
  <cellStyles count="3">
    <cellStyle name="Accent1" xfId="2" builtinId="29"/>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57"/>
  <sheetViews>
    <sheetView topLeftCell="A28" workbookViewId="0">
      <selection activeCell="F57" sqref="F57"/>
    </sheetView>
  </sheetViews>
  <sheetFormatPr defaultRowHeight="15" x14ac:dyDescent="0.25"/>
  <cols>
    <col min="1" max="1" width="60.42578125" bestFit="1" customWidth="1"/>
    <col min="2" max="2" width="18.42578125" bestFit="1" customWidth="1"/>
    <col min="3" max="3" width="11.5703125" style="26" bestFit="1" customWidth="1"/>
    <col min="4" max="4" width="8.7109375" bestFit="1" customWidth="1"/>
    <col min="5" max="5" width="9" style="17" bestFit="1" customWidth="1"/>
    <col min="6" max="6" width="13.140625" style="16" bestFit="1" customWidth="1"/>
  </cols>
  <sheetData>
    <row r="2" spans="1:6" ht="45" x14ac:dyDescent="0.25">
      <c r="A2" s="7" t="s">
        <v>2</v>
      </c>
      <c r="B2" s="7" t="s">
        <v>3</v>
      </c>
      <c r="C2" s="24" t="s">
        <v>4</v>
      </c>
      <c r="D2" s="7" t="s">
        <v>5</v>
      </c>
      <c r="E2" s="7" t="s">
        <v>19</v>
      </c>
      <c r="F2" s="7" t="s">
        <v>18</v>
      </c>
    </row>
    <row r="4" spans="1:6" x14ac:dyDescent="0.25">
      <c r="A4" s="2" t="s">
        <v>6</v>
      </c>
      <c r="B4" t="s">
        <v>13</v>
      </c>
      <c r="C4" s="25">
        <v>2000</v>
      </c>
      <c r="D4">
        <v>20</v>
      </c>
      <c r="E4" s="17">
        <v>1</v>
      </c>
      <c r="F4" s="18">
        <f>C4*D4*E4</f>
        <v>40000</v>
      </c>
    </row>
    <row r="5" spans="1:6" x14ac:dyDescent="0.25">
      <c r="A5" s="2" t="s">
        <v>7</v>
      </c>
      <c r="B5" s="3" t="s">
        <v>13</v>
      </c>
      <c r="C5" s="25">
        <v>999</v>
      </c>
      <c r="D5">
        <v>36</v>
      </c>
      <c r="E5" s="17">
        <v>1</v>
      </c>
      <c r="F5" s="18">
        <f t="shared" ref="F5:F49" si="0">C5*D5*E5</f>
        <v>35964</v>
      </c>
    </row>
    <row r="6" spans="1:6" x14ac:dyDescent="0.25">
      <c r="A6" s="2" t="s">
        <v>8</v>
      </c>
      <c r="B6" s="3" t="s">
        <v>13</v>
      </c>
      <c r="C6" s="25">
        <v>2500</v>
      </c>
      <c r="D6">
        <v>6</v>
      </c>
      <c r="E6" s="17">
        <v>1</v>
      </c>
      <c r="F6" s="18">
        <f t="shared" si="0"/>
        <v>15000</v>
      </c>
    </row>
    <row r="7" spans="1:6" x14ac:dyDescent="0.25">
      <c r="A7" s="2" t="s">
        <v>9</v>
      </c>
      <c r="B7" s="3" t="s">
        <v>13</v>
      </c>
      <c r="C7" s="25">
        <v>8000</v>
      </c>
      <c r="D7">
        <v>1</v>
      </c>
      <c r="E7" s="17">
        <v>1</v>
      </c>
      <c r="F7" s="18">
        <f t="shared" si="0"/>
        <v>8000</v>
      </c>
    </row>
    <row r="8" spans="1:6" x14ac:dyDescent="0.25">
      <c r="A8" s="2" t="s">
        <v>10</v>
      </c>
      <c r="B8" s="3" t="s">
        <v>13</v>
      </c>
      <c r="C8" s="25">
        <v>16000</v>
      </c>
      <c r="D8">
        <v>2</v>
      </c>
      <c r="E8" s="17">
        <v>1</v>
      </c>
      <c r="F8" s="18">
        <f t="shared" si="0"/>
        <v>32000</v>
      </c>
    </row>
    <row r="9" spans="1:6" x14ac:dyDescent="0.25">
      <c r="A9" s="2" t="s">
        <v>11</v>
      </c>
      <c r="B9" s="3" t="s">
        <v>13</v>
      </c>
      <c r="C9" s="25">
        <v>12000</v>
      </c>
      <c r="D9">
        <v>1</v>
      </c>
      <c r="E9" s="17">
        <v>1</v>
      </c>
      <c r="F9" s="18">
        <f t="shared" si="0"/>
        <v>12000</v>
      </c>
    </row>
    <row r="10" spans="1:6" x14ac:dyDescent="0.25">
      <c r="A10" s="2" t="s">
        <v>12</v>
      </c>
      <c r="B10" s="3" t="s">
        <v>13</v>
      </c>
      <c r="C10" s="25">
        <v>13000</v>
      </c>
      <c r="D10">
        <v>1</v>
      </c>
      <c r="E10" s="17">
        <v>1</v>
      </c>
      <c r="F10" s="18">
        <f t="shared" si="0"/>
        <v>13000</v>
      </c>
    </row>
    <row r="11" spans="1:6" x14ac:dyDescent="0.25">
      <c r="F11" s="18"/>
    </row>
    <row r="12" spans="1:6" x14ac:dyDescent="0.25">
      <c r="A12" s="6" t="s">
        <v>14</v>
      </c>
      <c r="B12" t="s">
        <v>17</v>
      </c>
      <c r="C12" s="25">
        <v>1</v>
      </c>
      <c r="D12">
        <f>D4+D8</f>
        <v>22</v>
      </c>
      <c r="E12" s="12">
        <v>2000</v>
      </c>
      <c r="F12" s="18">
        <f t="shared" si="0"/>
        <v>44000</v>
      </c>
    </row>
    <row r="13" spans="1:6" x14ac:dyDescent="0.25">
      <c r="A13" s="6" t="s">
        <v>15</v>
      </c>
      <c r="B13" s="5" t="s">
        <v>17</v>
      </c>
      <c r="C13" s="25">
        <v>1</v>
      </c>
      <c r="D13">
        <f>D5</f>
        <v>36</v>
      </c>
      <c r="E13" s="12">
        <v>1000</v>
      </c>
      <c r="F13" s="18">
        <f t="shared" si="0"/>
        <v>36000</v>
      </c>
    </row>
    <row r="14" spans="1:6" x14ac:dyDescent="0.25">
      <c r="A14" s="6" t="s">
        <v>16</v>
      </c>
      <c r="B14" s="5" t="s">
        <v>17</v>
      </c>
      <c r="C14" s="25">
        <v>8000</v>
      </c>
      <c r="D14">
        <f>D7</f>
        <v>1</v>
      </c>
      <c r="E14" s="12">
        <v>100</v>
      </c>
      <c r="F14" s="18">
        <f t="shared" si="0"/>
        <v>800000</v>
      </c>
    </row>
    <row r="15" spans="1:6" x14ac:dyDescent="0.25">
      <c r="A15" s="6" t="s">
        <v>11</v>
      </c>
      <c r="B15" s="5" t="s">
        <v>17</v>
      </c>
      <c r="C15" s="25">
        <v>8000</v>
      </c>
      <c r="D15">
        <f>D9</f>
        <v>1</v>
      </c>
      <c r="E15" s="12">
        <v>4</v>
      </c>
      <c r="F15" s="18">
        <f t="shared" si="0"/>
        <v>32000</v>
      </c>
    </row>
    <row r="16" spans="1:6" x14ac:dyDescent="0.25">
      <c r="A16" s="6" t="s">
        <v>12</v>
      </c>
      <c r="B16" s="5" t="s">
        <v>17</v>
      </c>
      <c r="C16" s="25">
        <v>5000</v>
      </c>
      <c r="D16">
        <f>D10</f>
        <v>1</v>
      </c>
      <c r="E16" s="12">
        <v>4</v>
      </c>
      <c r="F16" s="18">
        <f t="shared" si="0"/>
        <v>20000</v>
      </c>
    </row>
    <row r="17" spans="1:6" x14ac:dyDescent="0.25">
      <c r="A17" s="4"/>
      <c r="F17" s="18"/>
    </row>
    <row r="18" spans="1:6" x14ac:dyDescent="0.25">
      <c r="A18" s="8" t="s">
        <v>20</v>
      </c>
      <c r="B18" t="s">
        <v>21</v>
      </c>
      <c r="C18" s="26">
        <v>27680</v>
      </c>
      <c r="D18">
        <v>4</v>
      </c>
      <c r="E18" s="12">
        <v>1</v>
      </c>
      <c r="F18" s="18">
        <f t="shared" si="0"/>
        <v>110720</v>
      </c>
    </row>
    <row r="19" spans="1:6" x14ac:dyDescent="0.25">
      <c r="A19" s="10" t="s">
        <v>23</v>
      </c>
      <c r="B19" s="11" t="s">
        <v>21</v>
      </c>
      <c r="C19" s="26">
        <v>32380</v>
      </c>
      <c r="D19">
        <v>1</v>
      </c>
      <c r="E19" s="12">
        <v>1</v>
      </c>
      <c r="F19" s="18">
        <f t="shared" si="0"/>
        <v>32380</v>
      </c>
    </row>
    <row r="20" spans="1:6" x14ac:dyDescent="0.25">
      <c r="A20" s="9" t="s">
        <v>22</v>
      </c>
      <c r="B20" s="11" t="s">
        <v>21</v>
      </c>
      <c r="C20" s="26">
        <v>8000</v>
      </c>
      <c r="D20">
        <v>3</v>
      </c>
      <c r="E20" s="12">
        <v>1</v>
      </c>
      <c r="F20" s="18">
        <f t="shared" si="0"/>
        <v>24000</v>
      </c>
    </row>
    <row r="21" spans="1:6" x14ac:dyDescent="0.25">
      <c r="F21" s="18"/>
    </row>
    <row r="22" spans="1:6" x14ac:dyDescent="0.25">
      <c r="A22" s="15" t="s">
        <v>24</v>
      </c>
      <c r="B22" t="s">
        <v>44</v>
      </c>
      <c r="C22" s="25">
        <v>2000</v>
      </c>
      <c r="D22">
        <v>36</v>
      </c>
      <c r="E22" s="12">
        <v>1</v>
      </c>
      <c r="F22" s="18">
        <f t="shared" si="0"/>
        <v>72000</v>
      </c>
    </row>
    <row r="23" spans="1:6" s="11" customFormat="1" x14ac:dyDescent="0.25">
      <c r="A23" s="15" t="s">
        <v>25</v>
      </c>
      <c r="B23" s="14" t="s">
        <v>44</v>
      </c>
      <c r="C23" s="25">
        <v>450</v>
      </c>
      <c r="D23" s="11">
        <v>36</v>
      </c>
      <c r="E23" s="12">
        <v>1</v>
      </c>
      <c r="F23" s="18">
        <f t="shared" si="0"/>
        <v>16200</v>
      </c>
    </row>
    <row r="24" spans="1:6" s="11" customFormat="1" x14ac:dyDescent="0.25">
      <c r="A24" s="15" t="s">
        <v>26</v>
      </c>
      <c r="B24" s="14" t="s">
        <v>44</v>
      </c>
      <c r="C24" s="25">
        <v>150</v>
      </c>
      <c r="D24" s="11">
        <v>36</v>
      </c>
      <c r="E24" s="12">
        <v>1</v>
      </c>
      <c r="F24" s="18">
        <f t="shared" si="0"/>
        <v>5400</v>
      </c>
    </row>
    <row r="25" spans="1:6" s="11" customFormat="1" x14ac:dyDescent="0.25">
      <c r="A25" s="15" t="s">
        <v>27</v>
      </c>
      <c r="B25" s="14" t="s">
        <v>44</v>
      </c>
      <c r="C25" s="25">
        <v>935</v>
      </c>
      <c r="D25" s="11">
        <v>36</v>
      </c>
      <c r="E25" s="12">
        <v>1</v>
      </c>
      <c r="F25" s="18">
        <f t="shared" si="0"/>
        <v>33660</v>
      </c>
    </row>
    <row r="26" spans="1:6" s="11" customFormat="1" x14ac:dyDescent="0.25">
      <c r="A26" s="15" t="s">
        <v>28</v>
      </c>
      <c r="B26" s="14" t="s">
        <v>44</v>
      </c>
      <c r="C26" s="25">
        <v>86</v>
      </c>
      <c r="D26" s="11">
        <v>30</v>
      </c>
      <c r="E26" s="12">
        <v>1</v>
      </c>
      <c r="F26" s="18">
        <f t="shared" si="0"/>
        <v>2580</v>
      </c>
    </row>
    <row r="27" spans="1:6" s="11" customFormat="1" x14ac:dyDescent="0.25">
      <c r="A27" s="15" t="s">
        <v>29</v>
      </c>
      <c r="B27" s="14" t="s">
        <v>44</v>
      </c>
      <c r="C27" s="25">
        <v>80</v>
      </c>
      <c r="D27" s="11">
        <v>6</v>
      </c>
      <c r="E27" s="12">
        <v>1</v>
      </c>
      <c r="F27" s="18">
        <f t="shared" si="0"/>
        <v>480</v>
      </c>
    </row>
    <row r="28" spans="1:6" s="11" customFormat="1" x14ac:dyDescent="0.25">
      <c r="A28" s="15" t="s">
        <v>30</v>
      </c>
      <c r="B28" s="14" t="s">
        <v>44</v>
      </c>
      <c r="C28" s="25">
        <v>2500</v>
      </c>
      <c r="D28" s="11">
        <v>30</v>
      </c>
      <c r="E28" s="12">
        <v>1</v>
      </c>
      <c r="F28" s="18">
        <f t="shared" si="0"/>
        <v>75000</v>
      </c>
    </row>
    <row r="29" spans="1:6" s="11" customFormat="1" x14ac:dyDescent="0.25">
      <c r="A29" s="15" t="s">
        <v>31</v>
      </c>
      <c r="B29" s="14" t="s">
        <v>44</v>
      </c>
      <c r="C29" s="25">
        <v>2000</v>
      </c>
      <c r="D29" s="11">
        <v>6</v>
      </c>
      <c r="E29" s="12">
        <v>1</v>
      </c>
      <c r="F29" s="18">
        <f t="shared" si="0"/>
        <v>12000</v>
      </c>
    </row>
    <row r="30" spans="1:6" s="11" customFormat="1" x14ac:dyDescent="0.25">
      <c r="A30" s="15" t="s">
        <v>32</v>
      </c>
      <c r="B30" s="14" t="s">
        <v>44</v>
      </c>
      <c r="C30" s="25">
        <v>1500</v>
      </c>
      <c r="D30" s="11">
        <v>36</v>
      </c>
      <c r="E30" s="12">
        <v>1</v>
      </c>
      <c r="F30" s="18">
        <f t="shared" si="0"/>
        <v>54000</v>
      </c>
    </row>
    <row r="31" spans="1:6" s="11" customFormat="1" x14ac:dyDescent="0.25">
      <c r="A31" s="15" t="s">
        <v>33</v>
      </c>
      <c r="B31" s="14" t="s">
        <v>44</v>
      </c>
      <c r="C31" s="25">
        <v>12699</v>
      </c>
      <c r="D31" s="11">
        <v>6</v>
      </c>
      <c r="E31" s="12">
        <v>1</v>
      </c>
      <c r="F31" s="18">
        <f t="shared" si="0"/>
        <v>76194</v>
      </c>
    </row>
    <row r="32" spans="1:6" s="11" customFormat="1" x14ac:dyDescent="0.25">
      <c r="A32" s="15" t="s">
        <v>34</v>
      </c>
      <c r="B32" s="14" t="s">
        <v>44</v>
      </c>
      <c r="C32" s="25">
        <v>41499</v>
      </c>
      <c r="D32" s="11">
        <f>36-11</f>
        <v>25</v>
      </c>
      <c r="E32" s="12">
        <v>1</v>
      </c>
      <c r="F32" s="18">
        <f t="shared" si="0"/>
        <v>1037475</v>
      </c>
    </row>
    <row r="33" spans="1:6" s="11" customFormat="1" x14ac:dyDescent="0.25">
      <c r="A33" s="15" t="s">
        <v>35</v>
      </c>
      <c r="B33" s="14" t="s">
        <v>44</v>
      </c>
      <c r="C33" s="25">
        <v>400</v>
      </c>
      <c r="D33" s="11">
        <v>20</v>
      </c>
      <c r="E33" s="12">
        <v>1</v>
      </c>
      <c r="F33" s="18">
        <f t="shared" si="0"/>
        <v>8000</v>
      </c>
    </row>
    <row r="34" spans="1:6" s="11" customFormat="1" x14ac:dyDescent="0.25">
      <c r="A34" s="15" t="s">
        <v>36</v>
      </c>
      <c r="B34" s="14" t="s">
        <v>44</v>
      </c>
      <c r="C34" s="25">
        <v>589</v>
      </c>
      <c r="D34" s="11">
        <v>6</v>
      </c>
      <c r="E34" s="12">
        <v>1</v>
      </c>
      <c r="F34" s="18">
        <f t="shared" si="0"/>
        <v>3534</v>
      </c>
    </row>
    <row r="35" spans="1:6" s="11" customFormat="1" x14ac:dyDescent="0.25">
      <c r="A35" s="15" t="s">
        <v>37</v>
      </c>
      <c r="B35" s="14" t="s">
        <v>44</v>
      </c>
      <c r="C35" s="25">
        <v>800</v>
      </c>
      <c r="D35" s="11">
        <v>1</v>
      </c>
      <c r="E35" s="12">
        <v>1</v>
      </c>
      <c r="F35" s="18">
        <f t="shared" si="0"/>
        <v>800</v>
      </c>
    </row>
    <row r="36" spans="1:6" s="11" customFormat="1" x14ac:dyDescent="0.25">
      <c r="A36" s="15" t="s">
        <v>38</v>
      </c>
      <c r="B36" s="14" t="s">
        <v>44</v>
      </c>
      <c r="C36" s="25">
        <v>209</v>
      </c>
      <c r="D36" s="11">
        <v>1</v>
      </c>
      <c r="E36" s="12">
        <v>1</v>
      </c>
      <c r="F36" s="18">
        <f t="shared" si="0"/>
        <v>209</v>
      </c>
    </row>
    <row r="37" spans="1:6" s="11" customFormat="1" x14ac:dyDescent="0.25">
      <c r="A37" s="15" t="s">
        <v>39</v>
      </c>
      <c r="B37" s="14" t="s">
        <v>44</v>
      </c>
      <c r="C37" s="25">
        <v>438</v>
      </c>
      <c r="D37" s="11">
        <v>36</v>
      </c>
      <c r="E37" s="12">
        <v>1</v>
      </c>
      <c r="F37" s="18">
        <f t="shared" si="0"/>
        <v>15768</v>
      </c>
    </row>
    <row r="38" spans="1:6" s="11" customFormat="1" x14ac:dyDescent="0.25">
      <c r="A38" s="15" t="s">
        <v>40</v>
      </c>
      <c r="B38" s="14" t="s">
        <v>44</v>
      </c>
      <c r="C38" s="25">
        <v>346</v>
      </c>
      <c r="D38" s="11">
        <v>20</v>
      </c>
      <c r="E38" s="12">
        <v>1</v>
      </c>
      <c r="F38" s="18">
        <f t="shared" si="0"/>
        <v>6920</v>
      </c>
    </row>
    <row r="39" spans="1:6" s="11" customFormat="1" x14ac:dyDescent="0.25">
      <c r="A39" s="15" t="s">
        <v>41</v>
      </c>
      <c r="B39" s="14" t="s">
        <v>44</v>
      </c>
      <c r="C39" s="25">
        <v>50</v>
      </c>
      <c r="D39" s="11">
        <v>36</v>
      </c>
      <c r="E39" s="12">
        <v>1</v>
      </c>
      <c r="F39" s="18">
        <f t="shared" si="0"/>
        <v>1800</v>
      </c>
    </row>
    <row r="40" spans="1:6" s="11" customFormat="1" x14ac:dyDescent="0.25">
      <c r="A40" s="15" t="s">
        <v>42</v>
      </c>
      <c r="B40" s="14" t="s">
        <v>44</v>
      </c>
      <c r="C40" s="25">
        <v>63</v>
      </c>
      <c r="D40" s="11">
        <v>36</v>
      </c>
      <c r="E40" s="12">
        <v>1</v>
      </c>
      <c r="F40" s="18">
        <f t="shared" si="0"/>
        <v>2268</v>
      </c>
    </row>
    <row r="41" spans="1:6" s="11" customFormat="1" x14ac:dyDescent="0.25">
      <c r="A41" s="15" t="s">
        <v>43</v>
      </c>
      <c r="B41" s="14" t="s">
        <v>44</v>
      </c>
      <c r="C41" s="25">
        <v>97</v>
      </c>
      <c r="D41" s="11">
        <v>36</v>
      </c>
      <c r="E41" s="12">
        <v>1</v>
      </c>
      <c r="F41" s="18">
        <f t="shared" si="0"/>
        <v>3492</v>
      </c>
    </row>
    <row r="42" spans="1:6" s="11" customFormat="1" x14ac:dyDescent="0.25">
      <c r="C42" s="26"/>
      <c r="E42" s="17"/>
      <c r="F42" s="18"/>
    </row>
    <row r="43" spans="1:6" s="11" customFormat="1" x14ac:dyDescent="0.25">
      <c r="A43" s="22" t="s">
        <v>45</v>
      </c>
      <c r="B43" s="11" t="s">
        <v>0</v>
      </c>
      <c r="C43" s="25">
        <v>346</v>
      </c>
      <c r="D43" s="11">
        <v>1</v>
      </c>
      <c r="E43" s="17">
        <v>1</v>
      </c>
      <c r="F43" s="18">
        <f t="shared" si="0"/>
        <v>346</v>
      </c>
    </row>
    <row r="44" spans="1:6" s="11" customFormat="1" x14ac:dyDescent="0.25">
      <c r="A44" s="22" t="s">
        <v>46</v>
      </c>
      <c r="B44" s="21" t="s">
        <v>0</v>
      </c>
      <c r="C44" s="25">
        <v>600</v>
      </c>
      <c r="D44" s="11">
        <v>1</v>
      </c>
      <c r="E44" s="17">
        <v>1</v>
      </c>
      <c r="F44" s="18">
        <f t="shared" si="0"/>
        <v>600</v>
      </c>
    </row>
    <row r="45" spans="1:6" s="11" customFormat="1" x14ac:dyDescent="0.25">
      <c r="C45" s="26"/>
      <c r="E45" s="17"/>
      <c r="F45" s="18"/>
    </row>
    <row r="46" spans="1:6" s="11" customFormat="1" x14ac:dyDescent="0.25">
      <c r="A46" s="11" t="s">
        <v>48</v>
      </c>
      <c r="B46" s="11" t="s">
        <v>1</v>
      </c>
      <c r="C46" s="26">
        <v>1</v>
      </c>
      <c r="D46" s="11">
        <v>36</v>
      </c>
      <c r="E46" s="17">
        <v>4</v>
      </c>
      <c r="F46" s="18">
        <f t="shared" si="0"/>
        <v>144</v>
      </c>
    </row>
    <row r="47" spans="1:6" s="11" customFormat="1" x14ac:dyDescent="0.25">
      <c r="A47" s="11" t="s">
        <v>49</v>
      </c>
      <c r="B47" s="11" t="s">
        <v>1</v>
      </c>
      <c r="C47" s="26"/>
      <c r="E47" s="17"/>
      <c r="F47" s="18">
        <f t="shared" si="0"/>
        <v>0</v>
      </c>
    </row>
    <row r="48" spans="1:6" s="11" customFormat="1" x14ac:dyDescent="0.25">
      <c r="A48" s="11" t="s">
        <v>47</v>
      </c>
      <c r="B48" s="11" t="s">
        <v>1</v>
      </c>
      <c r="C48" s="26"/>
      <c r="E48" s="17"/>
      <c r="F48" s="18">
        <f t="shared" si="0"/>
        <v>0</v>
      </c>
    </row>
    <row r="49" spans="1:6" x14ac:dyDescent="0.25">
      <c r="A49" t="s">
        <v>50</v>
      </c>
      <c r="B49" s="23" t="s">
        <v>1</v>
      </c>
      <c r="F49" s="18">
        <f t="shared" si="0"/>
        <v>0</v>
      </c>
    </row>
    <row r="50" spans="1:6" x14ac:dyDescent="0.25">
      <c r="F50" s="18"/>
    </row>
    <row r="51" spans="1:6" x14ac:dyDescent="0.25">
      <c r="F51" s="18"/>
    </row>
    <row r="52" spans="1:6" x14ac:dyDescent="0.25">
      <c r="F52" s="18"/>
    </row>
    <row r="53" spans="1:6" x14ac:dyDescent="0.25">
      <c r="F53" s="18"/>
    </row>
    <row r="54" spans="1:6" x14ac:dyDescent="0.25">
      <c r="F54" s="18"/>
    </row>
    <row r="55" spans="1:6" x14ac:dyDescent="0.25">
      <c r="A55" s="1"/>
      <c r="B55" s="1"/>
      <c r="C55" s="27"/>
      <c r="D55" s="1"/>
      <c r="E55" s="13"/>
      <c r="F55" s="19"/>
    </row>
    <row r="56" spans="1:6" x14ac:dyDescent="0.25">
      <c r="A56" t="s">
        <v>52</v>
      </c>
      <c r="F56" s="28">
        <f>SUM(F4:F55)</f>
        <v>2683934</v>
      </c>
    </row>
    <row r="57" spans="1:6" x14ac:dyDescent="0.25">
      <c r="A57" t="s">
        <v>51</v>
      </c>
      <c r="E57" s="20">
        <v>0.05</v>
      </c>
      <c r="F57" s="29">
        <f>F56+F56*E57</f>
        <v>2818130.7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topLeftCell="A19" workbookViewId="0">
      <selection activeCell="B15" sqref="B15"/>
    </sheetView>
  </sheetViews>
  <sheetFormatPr defaultRowHeight="15" x14ac:dyDescent="0.25"/>
  <cols>
    <col min="1" max="1" width="29.42578125" style="32" customWidth="1"/>
    <col min="2" max="2" width="40.7109375" style="32" customWidth="1"/>
    <col min="3" max="3" width="12.140625" style="30" bestFit="1" customWidth="1"/>
    <col min="4" max="4" width="10.5703125" style="25" bestFit="1" customWidth="1"/>
    <col min="5" max="5" width="10.5703125" style="12" bestFit="1" customWidth="1"/>
    <col min="6" max="6" width="8.85546875" style="30" customWidth="1"/>
    <col min="7" max="7" width="12.42578125" style="22" bestFit="1" customWidth="1"/>
    <col min="8" max="8" width="27.28515625" style="32" customWidth="1"/>
    <col min="9" max="9" width="8.42578125" style="30" bestFit="1" customWidth="1"/>
    <col min="10" max="16384" width="9.140625" style="30"/>
  </cols>
  <sheetData>
    <row r="1" spans="1:9" ht="45" x14ac:dyDescent="0.25">
      <c r="A1" s="7" t="s">
        <v>53</v>
      </c>
      <c r="B1" s="7" t="s">
        <v>54</v>
      </c>
      <c r="C1" s="7" t="s">
        <v>55</v>
      </c>
      <c r="D1" s="7" t="s">
        <v>56</v>
      </c>
      <c r="E1" s="24" t="s">
        <v>57</v>
      </c>
      <c r="F1" s="7" t="s">
        <v>58</v>
      </c>
      <c r="G1" s="7" t="s">
        <v>59</v>
      </c>
      <c r="H1" s="7" t="s">
        <v>60</v>
      </c>
      <c r="I1" s="7" t="s">
        <v>61</v>
      </c>
    </row>
    <row r="3" spans="1:9" ht="45" x14ac:dyDescent="0.25">
      <c r="A3" s="31" t="s">
        <v>62</v>
      </c>
      <c r="B3" s="32" t="s">
        <v>63</v>
      </c>
      <c r="C3" s="30">
        <v>16</v>
      </c>
      <c r="D3" s="25">
        <v>200</v>
      </c>
      <c r="E3" s="33">
        <f>C3*D3</f>
        <v>3200</v>
      </c>
      <c r="F3" s="30">
        <v>36</v>
      </c>
      <c r="G3" s="34">
        <f>E3*F3</f>
        <v>115200</v>
      </c>
      <c r="H3" s="32" t="s">
        <v>64</v>
      </c>
      <c r="I3" s="30">
        <v>15</v>
      </c>
    </row>
    <row r="4" spans="1:9" ht="45" x14ac:dyDescent="0.25">
      <c r="A4" s="31" t="s">
        <v>65</v>
      </c>
      <c r="B4" s="32" t="s">
        <v>66</v>
      </c>
      <c r="C4" s="30">
        <v>24</v>
      </c>
      <c r="D4" s="25">
        <v>200</v>
      </c>
      <c r="E4" s="33">
        <f t="shared" ref="E4:E15" si="0">C4*D4</f>
        <v>4800</v>
      </c>
      <c r="F4" s="30">
        <v>29</v>
      </c>
      <c r="G4" s="34">
        <f t="shared" ref="G4:G15" si="1">E4*F4</f>
        <v>139200</v>
      </c>
      <c r="H4" s="32" t="s">
        <v>67</v>
      </c>
      <c r="I4" s="30">
        <v>30</v>
      </c>
    </row>
    <row r="5" spans="1:9" x14ac:dyDescent="0.25">
      <c r="A5" s="31" t="s">
        <v>68</v>
      </c>
      <c r="B5" s="32" t="s">
        <v>69</v>
      </c>
      <c r="C5" s="30">
        <v>8</v>
      </c>
      <c r="D5" s="25">
        <v>200</v>
      </c>
      <c r="E5" s="33">
        <f t="shared" si="0"/>
        <v>1600</v>
      </c>
      <c r="F5" s="30">
        <v>4</v>
      </c>
      <c r="G5" s="34">
        <f t="shared" si="1"/>
        <v>6400</v>
      </c>
      <c r="H5" s="32" t="s">
        <v>70</v>
      </c>
      <c r="I5" s="30">
        <v>30</v>
      </c>
    </row>
    <row r="6" spans="1:9" ht="30" x14ac:dyDescent="0.25">
      <c r="A6" s="31" t="s">
        <v>71</v>
      </c>
      <c r="B6" s="32" t="s">
        <v>69</v>
      </c>
      <c r="C6" s="30">
        <v>8</v>
      </c>
      <c r="D6" s="25">
        <v>200</v>
      </c>
      <c r="E6" s="33">
        <f t="shared" si="0"/>
        <v>1600</v>
      </c>
      <c r="F6" s="30">
        <v>4</v>
      </c>
      <c r="G6" s="34">
        <f t="shared" si="1"/>
        <v>6400</v>
      </c>
      <c r="H6" s="32" t="s">
        <v>67</v>
      </c>
    </row>
    <row r="7" spans="1:9" ht="60" x14ac:dyDescent="0.25">
      <c r="A7" s="31" t="s">
        <v>72</v>
      </c>
      <c r="B7" s="32" t="s">
        <v>73</v>
      </c>
      <c r="C7" s="30">
        <v>16</v>
      </c>
      <c r="D7" s="25">
        <v>500</v>
      </c>
      <c r="E7" s="33">
        <f t="shared" si="0"/>
        <v>8000</v>
      </c>
      <c r="F7" s="30">
        <v>29</v>
      </c>
      <c r="G7" s="34">
        <f t="shared" si="1"/>
        <v>232000</v>
      </c>
      <c r="H7" s="32" t="s">
        <v>67</v>
      </c>
      <c r="I7" s="30">
        <v>30</v>
      </c>
    </row>
    <row r="8" spans="1:9" ht="75" x14ac:dyDescent="0.25">
      <c r="A8" s="32" t="s">
        <v>74</v>
      </c>
      <c r="B8" s="32" t="s">
        <v>75</v>
      </c>
      <c r="C8" s="30">
        <v>16</v>
      </c>
      <c r="D8" s="25">
        <v>1500</v>
      </c>
      <c r="E8" s="12">
        <f t="shared" si="0"/>
        <v>24000</v>
      </c>
      <c r="F8" s="30">
        <v>5</v>
      </c>
      <c r="G8" s="34">
        <f t="shared" si="1"/>
        <v>120000</v>
      </c>
      <c r="H8" s="32" t="s">
        <v>76</v>
      </c>
      <c r="I8" s="30">
        <v>15</v>
      </c>
    </row>
    <row r="9" spans="1:9" ht="60" x14ac:dyDescent="0.25">
      <c r="A9" s="32" t="s">
        <v>77</v>
      </c>
      <c r="B9" s="32" t="s">
        <v>78</v>
      </c>
      <c r="C9" s="30">
        <v>8</v>
      </c>
      <c r="D9" s="25">
        <v>150</v>
      </c>
      <c r="E9" s="12">
        <f t="shared" si="0"/>
        <v>1200</v>
      </c>
      <c r="F9" s="30">
        <v>29</v>
      </c>
      <c r="G9" s="34">
        <f t="shared" si="1"/>
        <v>34800</v>
      </c>
      <c r="H9" s="32" t="s">
        <v>76</v>
      </c>
      <c r="I9" s="30">
        <v>15</v>
      </c>
    </row>
    <row r="10" spans="1:9" ht="30" x14ac:dyDescent="0.25">
      <c r="A10" s="32" t="s">
        <v>79</v>
      </c>
      <c r="B10" s="32" t="s">
        <v>80</v>
      </c>
      <c r="C10" s="30">
        <v>8</v>
      </c>
      <c r="D10" s="25">
        <v>300</v>
      </c>
      <c r="E10" s="12">
        <f t="shared" si="0"/>
        <v>2400</v>
      </c>
      <c r="F10" s="30">
        <v>8</v>
      </c>
      <c r="G10" s="34">
        <f t="shared" si="1"/>
        <v>19200</v>
      </c>
      <c r="H10" s="32" t="s">
        <v>81</v>
      </c>
      <c r="I10" s="30">
        <v>15</v>
      </c>
    </row>
    <row r="11" spans="1:9" ht="30" x14ac:dyDescent="0.25">
      <c r="A11" s="32" t="s">
        <v>82</v>
      </c>
      <c r="B11" s="32" t="s">
        <v>83</v>
      </c>
      <c r="C11" s="30">
        <v>8</v>
      </c>
      <c r="D11" s="25">
        <v>300</v>
      </c>
      <c r="E11" s="12">
        <f t="shared" si="0"/>
        <v>2400</v>
      </c>
      <c r="F11" s="30">
        <v>8</v>
      </c>
      <c r="G11" s="34">
        <f t="shared" si="1"/>
        <v>19200</v>
      </c>
      <c r="H11" s="32" t="s">
        <v>81</v>
      </c>
      <c r="I11" s="30">
        <v>15</v>
      </c>
    </row>
    <row r="12" spans="1:9" ht="45" x14ac:dyDescent="0.25">
      <c r="A12" s="32" t="s">
        <v>84</v>
      </c>
      <c r="B12" s="32" t="s">
        <v>85</v>
      </c>
      <c r="C12" s="30">
        <v>16</v>
      </c>
      <c r="D12" s="25">
        <v>250</v>
      </c>
      <c r="E12" s="12">
        <f t="shared" si="0"/>
        <v>4000</v>
      </c>
      <c r="F12" s="30">
        <v>29</v>
      </c>
      <c r="G12" s="34">
        <f t="shared" si="1"/>
        <v>116000</v>
      </c>
      <c r="H12" s="32" t="s">
        <v>76</v>
      </c>
      <c r="I12" s="30">
        <v>15</v>
      </c>
    </row>
    <row r="13" spans="1:9" x14ac:dyDescent="0.25">
      <c r="A13" s="32" t="s">
        <v>86</v>
      </c>
      <c r="B13" s="32" t="s">
        <v>87</v>
      </c>
      <c r="C13" s="30">
        <v>8</v>
      </c>
      <c r="D13" s="25">
        <v>450</v>
      </c>
      <c r="E13" s="12">
        <f t="shared" si="0"/>
        <v>3600</v>
      </c>
      <c r="F13" s="30">
        <v>33</v>
      </c>
      <c r="G13" s="34">
        <f t="shared" si="1"/>
        <v>118800</v>
      </c>
      <c r="H13" s="32" t="s">
        <v>76</v>
      </c>
      <c r="I13" s="30">
        <v>15</v>
      </c>
    </row>
    <row r="14" spans="1:9" ht="30" x14ac:dyDescent="0.25">
      <c r="A14" s="32" t="s">
        <v>88</v>
      </c>
      <c r="B14" s="32" t="s">
        <v>89</v>
      </c>
      <c r="C14" s="30">
        <v>8</v>
      </c>
      <c r="D14" s="25">
        <v>200</v>
      </c>
      <c r="E14" s="12">
        <f t="shared" si="0"/>
        <v>1600</v>
      </c>
      <c r="F14" s="30">
        <v>29</v>
      </c>
      <c r="G14" s="34">
        <f t="shared" si="1"/>
        <v>46400</v>
      </c>
      <c r="H14" s="32" t="s">
        <v>76</v>
      </c>
      <c r="I14" s="30">
        <v>15</v>
      </c>
    </row>
    <row r="15" spans="1:9" ht="30" x14ac:dyDescent="0.25">
      <c r="A15" s="32" t="s">
        <v>90</v>
      </c>
      <c r="B15" s="32" t="s">
        <v>91</v>
      </c>
      <c r="C15" s="30">
        <v>4</v>
      </c>
      <c r="D15" s="25">
        <v>500</v>
      </c>
      <c r="E15" s="12">
        <f t="shared" si="0"/>
        <v>2000</v>
      </c>
      <c r="F15" s="30">
        <v>29</v>
      </c>
      <c r="G15" s="34">
        <f t="shared" si="1"/>
        <v>58000</v>
      </c>
      <c r="H15" s="32" t="s">
        <v>67</v>
      </c>
      <c r="I15" s="30">
        <v>30</v>
      </c>
    </row>
    <row r="16" spans="1:9" x14ac:dyDescent="0.25">
      <c r="A16" s="35"/>
      <c r="B16" s="35"/>
      <c r="C16" s="36"/>
      <c r="D16" s="37"/>
      <c r="E16" s="38"/>
      <c r="F16" s="36"/>
      <c r="G16" s="39"/>
      <c r="H16" s="35"/>
      <c r="I16" s="35"/>
    </row>
    <row r="17" spans="5:7" s="30" customFormat="1" x14ac:dyDescent="0.25">
      <c r="E17" s="12"/>
      <c r="F17" s="40" t="s">
        <v>52</v>
      </c>
      <c r="G17" s="41">
        <f>SUM(G3:G16)</f>
        <v>1031600</v>
      </c>
    </row>
    <row r="18" spans="5:7" s="30" customFormat="1" x14ac:dyDescent="0.25">
      <c r="E18" s="42"/>
      <c r="G18" s="4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tabSelected="1" workbookViewId="0">
      <selection activeCell="A20" sqref="A20"/>
    </sheetView>
  </sheetViews>
  <sheetFormatPr defaultRowHeight="15" x14ac:dyDescent="0.25"/>
  <cols>
    <col min="1" max="1" width="29.42578125" style="32" customWidth="1"/>
    <col min="2" max="2" width="12.42578125" style="22" bestFit="1" customWidth="1"/>
    <col min="3" max="3" width="48.42578125" style="32" customWidth="1"/>
    <col min="4" max="16384" width="9.140625" style="30"/>
  </cols>
  <sheetData>
    <row r="1" spans="1:3" x14ac:dyDescent="0.25">
      <c r="A1" s="7" t="s">
        <v>92</v>
      </c>
      <c r="B1" s="7" t="s">
        <v>93</v>
      </c>
      <c r="C1" s="7" t="s">
        <v>94</v>
      </c>
    </row>
    <row r="2" spans="1:3" x14ac:dyDescent="0.25">
      <c r="A2" s="45" t="s">
        <v>99</v>
      </c>
    </row>
    <row r="3" spans="1:3" x14ac:dyDescent="0.25">
      <c r="A3" s="44" t="s">
        <v>95</v>
      </c>
      <c r="B3" s="34">
        <f>'Procurement Needs'!F57</f>
        <v>2818130.7</v>
      </c>
      <c r="C3" s="32" t="s">
        <v>102</v>
      </c>
    </row>
    <row r="4" spans="1:3" x14ac:dyDescent="0.25">
      <c r="A4" s="44" t="s">
        <v>96</v>
      </c>
      <c r="B4" s="34">
        <f>'Training Needs'!G17</f>
        <v>1031600</v>
      </c>
      <c r="C4" s="32" t="s">
        <v>103</v>
      </c>
    </row>
    <row r="5" spans="1:3" x14ac:dyDescent="0.25">
      <c r="A5" s="44" t="s">
        <v>1</v>
      </c>
      <c r="B5" s="34"/>
      <c r="C5" s="32" t="s">
        <v>104</v>
      </c>
    </row>
    <row r="6" spans="1:3" x14ac:dyDescent="0.25">
      <c r="A6" s="44" t="s">
        <v>97</v>
      </c>
      <c r="B6" s="34">
        <f>36*80*160*3</f>
        <v>1382400</v>
      </c>
      <c r="C6" s="32" t="s">
        <v>100</v>
      </c>
    </row>
    <row r="7" spans="1:3" x14ac:dyDescent="0.25">
      <c r="A7" s="45" t="s">
        <v>98</v>
      </c>
      <c r="B7" s="34"/>
    </row>
    <row r="8" spans="1:3" x14ac:dyDescent="0.25">
      <c r="A8" s="44" t="s">
        <v>97</v>
      </c>
      <c r="B8" s="34">
        <f>7*50*160*3</f>
        <v>168000</v>
      </c>
      <c r="C8" s="46" t="s">
        <v>101</v>
      </c>
    </row>
    <row r="9" spans="1:3" x14ac:dyDescent="0.25">
      <c r="B9" s="34"/>
    </row>
    <row r="10" spans="1:3" x14ac:dyDescent="0.25">
      <c r="B10" s="34"/>
    </row>
    <row r="11" spans="1:3" x14ac:dyDescent="0.25">
      <c r="B11" s="34"/>
    </row>
    <row r="12" spans="1:3" x14ac:dyDescent="0.25">
      <c r="B12" s="34"/>
    </row>
    <row r="13" spans="1:3" x14ac:dyDescent="0.25">
      <c r="B13" s="34"/>
    </row>
    <row r="14" spans="1:3" x14ac:dyDescent="0.25">
      <c r="B14" s="34"/>
    </row>
    <row r="15" spans="1:3" x14ac:dyDescent="0.25">
      <c r="A15" s="35"/>
      <c r="B15" s="39"/>
      <c r="C15" s="35"/>
    </row>
    <row r="16" spans="1:3" x14ac:dyDescent="0.25">
      <c r="A16" s="40" t="s">
        <v>52</v>
      </c>
      <c r="B16" s="41">
        <f>SUM(B3:B15)</f>
        <v>5400130.7000000002</v>
      </c>
      <c r="C16" s="30"/>
    </row>
    <row r="17" spans="1:3" x14ac:dyDescent="0.25">
      <c r="A17" s="47" t="s">
        <v>105</v>
      </c>
      <c r="B17" s="43">
        <f>B16*20%</f>
        <v>1080026.1400000001</v>
      </c>
      <c r="C17" s="30"/>
    </row>
    <row r="18" spans="1:3" x14ac:dyDescent="0.25">
      <c r="A18" s="45" t="s">
        <v>59</v>
      </c>
      <c r="B18" s="43">
        <f>B17+B16</f>
        <v>6480156.8399999999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Procurement Needs</vt:lpstr>
      <vt:lpstr>Training Needs</vt:lpstr>
      <vt:lpstr>Budget</vt:lpstr>
    </vt:vector>
  </TitlesOfParts>
  <Company>American Family Insurance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Garbuz, Alexander N</dc:creator>
  <cp:lastModifiedBy>Garbuz, Alexander N</cp:lastModifiedBy>
  <dcterms:created xsi:type="dcterms:W3CDTF">2015-01-28T20:08:29Z</dcterms:created>
  <dcterms:modified xsi:type="dcterms:W3CDTF">2015-02-04T19:59:43Z</dcterms:modified>
</cp:coreProperties>
</file>